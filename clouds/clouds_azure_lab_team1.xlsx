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zure lab team 1" sheetId="1" r:id="rId4"/>
  </sheets>
  <definedNames/>
  <calcPr/>
</workbook>
</file>

<file path=xl/sharedStrings.xml><?xml version="1.0" encoding="utf-8"?>
<sst xmlns="http://schemas.openxmlformats.org/spreadsheetml/2006/main" count="275" uniqueCount="132">
  <si>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</si>
  <si>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</si>
  <si>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</si>
  <si>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</si>
  <si>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</si>
  <si>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</si>
  <si>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</si>
  <si>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</si>
  <si>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</si>
  <si>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>[AdditionalInfo]</t>
  </si>
  <si>
    <t>Cloud Services</t>
  </si>
  <si>
    <t>Compute Node</t>
  </si>
  <si>
    <t>Standard Set</t>
  </si>
  <si>
    <t>Analysis Services</t>
  </si>
  <si>
    <t>Tabular</t>
  </si>
  <si>
    <t>Standard S%</t>
  </si>
  <si>
    <t>Microsoft.AnalysisServices</t>
  </si>
  <si>
    <t>Basic Set</t>
  </si>
  <si>
    <t>Basic B%</t>
  </si>
  <si>
    <t>Developer Set (Hours)</t>
  </si>
  <si>
    <t>Developer (Hours)</t>
  </si>
  <si>
    <t>Azure Analysis Services</t>
  </si>
  <si>
    <t>Basic</t>
  </si>
  <si>
    <t>B%</t>
  </si>
  <si>
    <t>Developer Set</t>
  </si>
  <si>
    <t>Developer</t>
  </si>
  <si>
    <t>Standard</t>
  </si>
  <si>
    <t>S%</t>
  </si>
  <si>
    <t>Application Integration</t>
  </si>
  <si>
    <t xml:space="preserve">Data Movement </t>
  </si>
  <si>
    <t>Self Hosted IR</t>
  </si>
  <si>
    <t>Azure Data Factory</t>
  </si>
  <si>
    <t>v2</t>
  </si>
  <si>
    <t>Data Movement Self Hosted IR</t>
  </si>
  <si>
    <t>Microsoft.DataFactory</t>
  </si>
  <si>
    <t>Orchestration</t>
  </si>
  <si>
    <t>Orchestration Self Hosted IR</t>
  </si>
  <si>
    <t>Integration Runtime</t>
  </si>
  <si>
    <t>General Usage of Integration Runtime</t>
  </si>
  <si>
    <t>%</t>
  </si>
  <si>
    <t>Cloud IR</t>
  </si>
  <si>
    <t>Data Movement Cloud IR</t>
  </si>
  <si>
    <t>Orchestration Cloud IR</t>
  </si>
  <si>
    <t>SSIS Runtime</t>
  </si>
  <si>
    <t>SSIS STD D4 v2</t>
  </si>
  <si>
    <t>Databases</t>
  </si>
  <si>
    <t>Azure Database for MySQL</t>
  </si>
  <si>
    <t>Managed Database Server</t>
  </si>
  <si>
    <t>Compute&amp;Storage&amp;Backup&amp;Data Transfer</t>
  </si>
  <si>
    <t>Microsoft.DBforMySQL</t>
  </si>
  <si>
    <t>Azure Database for PostgreSQL</t>
  </si>
  <si>
    <t>Microsoft.DBforPostgreSQL</t>
  </si>
  <si>
    <t>Business Analytics</t>
  </si>
  <si>
    <t>Data Factory</t>
  </si>
  <si>
    <t>Data Movement Cloud</t>
  </si>
  <si>
    <t>Data Movement On Premises</t>
  </si>
  <si>
    <t>Caching</t>
  </si>
  <si>
    <t>Azure Cach for Redis</t>
  </si>
  <si>
    <t>Cache Node</t>
  </si>
  <si>
    <t>C-Series Node</t>
  </si>
  <si>
    <t>Cache</t>
  </si>
  <si>
    <t>Azure Redis Cache</t>
  </si>
  <si>
    <t>Microsoft.Cache</t>
  </si>
  <si>
    <t>Standard C-Series</t>
  </si>
  <si>
    <t>Redis Cache</t>
  </si>
  <si>
    <t>C%</t>
  </si>
  <si>
    <t>Premium C-Series</t>
  </si>
  <si>
    <t>___C%</t>
  </si>
  <si>
    <t>Storage&amp;Content Delivery</t>
  </si>
  <si>
    <t>Outbound Data Transfer</t>
  </si>
  <si>
    <t>Azure CDN Standard</t>
  </si>
  <si>
    <t>CDN</t>
  </si>
  <si>
    <t>Standard CDN Data Transfer%</t>
  </si>
  <si>
    <t>Microsoft.Cdn</t>
  </si>
  <si>
    <t>General Outbound Traffic</t>
  </si>
  <si>
    <t>Content Delivery Network</t>
  </si>
  <si>
    <t>Azure CDN%</t>
  </si>
  <si>
    <t>%Data Transfer</t>
  </si>
  <si>
    <t>Compute Services</t>
  </si>
  <si>
    <t>Reserved Instances</t>
  </si>
  <si>
    <t>License Cost</t>
  </si>
  <si>
    <t>Reservation</t>
  </si>
  <si>
    <t>%License</t>
  </si>
  <si>
    <t>Microsoft.Batch</t>
  </si>
  <si>
    <t>Azure Virtual Machines</t>
  </si>
  <si>
    <t>A-Series VM</t>
  </si>
  <si>
    <t>A-Series Compute Hours</t>
  </si>
  <si>
    <t>A%</t>
  </si>
  <si>
    <t>Compute Hours</t>
  </si>
  <si>
    <t>Compute</t>
  </si>
  <si>
    <t>D-Series VM</t>
  </si>
  <si>
    <t>D-Series Compute Hours</t>
  </si>
  <si>
    <t>D%</t>
  </si>
  <si>
    <t>F-Series VM</t>
  </si>
  <si>
    <t>F-Series Compute Hours</t>
  </si>
  <si>
    <t>F%</t>
  </si>
  <si>
    <t>G-Series VM</t>
  </si>
  <si>
    <t>G-Series Compute Hours</t>
  </si>
  <si>
    <t>G%</t>
  </si>
  <si>
    <t>H-Series VM</t>
  </si>
  <si>
    <t>H-Series Compute Hours</t>
  </si>
  <si>
    <t>H%</t>
  </si>
  <si>
    <t>N-Series VM</t>
  </si>
  <si>
    <t>N-Series Compute Hours</t>
  </si>
  <si>
    <t>N%</t>
  </si>
  <si>
    <t>Storage</t>
  </si>
  <si>
    <t>Azure Data Box</t>
  </si>
  <si>
    <t>Physical Transfer</t>
  </si>
  <si>
    <t>Device Usage, Type &amp; Shipping Fees, Order Processing</t>
  </si>
  <si>
    <t>Data Box</t>
  </si>
  <si>
    <t>Microsoft.DataBox</t>
  </si>
  <si>
    <t>Security and Identity</t>
  </si>
  <si>
    <t>Azure Key Vault</t>
  </si>
  <si>
    <t>Secrets Management</t>
  </si>
  <si>
    <t>Vault Operations, Vault Tier, Managed Hardware Security Module</t>
  </si>
  <si>
    <t>Key Vault</t>
  </si>
  <si>
    <t>Microsoft.KeyVault</t>
  </si>
  <si>
    <t>Azure Scheduler</t>
  </si>
  <si>
    <t>Scheduler Units (Active Job Collections)</t>
  </si>
  <si>
    <t>Free Scheduler Units</t>
  </si>
  <si>
    <t>Scheduler</t>
  </si>
  <si>
    <t>Standard Scheduler Units</t>
  </si>
  <si>
    <t>Free Unit</t>
  </si>
  <si>
    <t>Microsoft.Scheduler</t>
  </si>
  <si>
    <t>Standard Unit</t>
  </si>
  <si>
    <t>Azure Sentinel</t>
  </si>
  <si>
    <t>Threat Protection (SIEM &amp; SOAR)</t>
  </si>
  <si>
    <t>Free Trial</t>
  </si>
  <si>
    <t>Sentinel</t>
  </si>
  <si>
    <t>microsoft.operationalinsights</t>
  </si>
  <si>
    <t>Log Analysis</t>
  </si>
  <si>
    <t>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</si>
</sst>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1.25"/>
    <col customWidth="1" min="3" max="3" width="25.0"/>
    <col customWidth="1" min="4" max="4" width="30.75"/>
    <col customWidth="1" min="5" max="5" width="49.25"/>
    <col customWidth="1" min="6" max="6" width="25.0"/>
    <col customWidth="1" min="7" max="7" width="18.38"/>
    <col customWidth="1" min="8" max="8" width="24.13"/>
    <col customWidth="1" min="9" max="9" width="22.25"/>
    <col customWidth="1" min="10" max="10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>
      <c r="A2" s="5" t="s">
        <v>10</v>
      </c>
      <c r="B2" s="6" t="str">
        <f t="shared" ref="B2:B7" si="1">IFS(OR(I2="Microsoft.AnalysisServices",F2="Analysis Services"),"Analytics",
OR(I2="Microsoft.DataFactory",F2="Azure Data Factory",F2="Business Analytics"),"Data Factory",
OR(I2="Microsoft.Cache",F2="Cache",G2="Azure Redis Cache"),"Cache",
OR(I2="Microsoft.Cdn",F2="CDN",G2="Azure CDN"),"Content Delivery",
OR(I2="Compute",H2="Compute Hours"),"Compute",
OR(I2="Microsoft.Batch",H2="%License"),"Reservation",
OR(I2="Microsoft.DataBox"),"Data Transfer",
OR(I2="Microsoft.KeyVault"),"Security and Identity",
OR(F2="Scheduler",G2="Scheduler"),"Application Integration",
OR(I2="microsoft.operationalinsights"),"Security",
OR(I2="Microsoft.DBforPostgreSQL",I2="Microsoft.DBforMyQL"),"Databases",
TRUE,"")</f>
        <v>Analytics</v>
      </c>
      <c r="C2" s="6" t="str">
        <f t="shared" ref="C2:C13" si="2">IFS(OR(I2="Microsoft.AnalysisServices",F2="Analysis Services"),"Azure Analysis Services",
OR(I2="Microsoft.DataFactory",F2="Azure Data Factory"),"Azure Data Factory v2",
OR(I2="Microsoft.Cache",G2="Azure Redis Cache"),"Azure Redis Cache",
OR(I2="Microsoft.Cdn",G2="Azure CDN"),"Azure CDN",
OR(I2="Compute",H2="Compute Hours"),"Virtual Machines",
OR(I2="Microsoft.Batch"),"Azure Batch",
OR(I2="Microsoft.DataBox"),"Data Box",
OR(I2="Microsoft.KeyVault"),"Key Vault",
OR(F2="Scheduler",I2="Microsoft.Scheduler"),"Scheduler",
OR(I2="microsoft.operationalinsights"),"Microsoft Sentinel",
OR(F2="Azure Database for PostgreSQL"),"PostgreSQL Database",
TRUE,FIND(F2,"Azure"))</f>
        <v>Azure Analysis Services</v>
      </c>
      <c r="D2" s="5" t="s">
        <v>11</v>
      </c>
      <c r="E2" s="7" t="s">
        <v>12</v>
      </c>
      <c r="F2" s="8" t="s">
        <v>13</v>
      </c>
      <c r="G2" s="5" t="s">
        <v>14</v>
      </c>
      <c r="H2" s="5" t="s">
        <v>15</v>
      </c>
      <c r="I2" s="5" t="s">
        <v>16</v>
      </c>
    </row>
    <row r="3">
      <c r="A3" s="5" t="s">
        <v>10</v>
      </c>
      <c r="B3" s="6" t="str">
        <f t="shared" si="1"/>
        <v>Analytics</v>
      </c>
      <c r="C3" s="6" t="str">
        <f t="shared" si="2"/>
        <v>Azure Analysis Services</v>
      </c>
      <c r="D3" s="5" t="s">
        <v>11</v>
      </c>
      <c r="E3" s="7" t="s">
        <v>17</v>
      </c>
      <c r="F3" s="8" t="s">
        <v>13</v>
      </c>
      <c r="G3" s="5" t="s">
        <v>14</v>
      </c>
      <c r="H3" s="5" t="s">
        <v>18</v>
      </c>
      <c r="I3" s="5" t="s">
        <v>16</v>
      </c>
    </row>
    <row r="4">
      <c r="A4" s="5" t="s">
        <v>10</v>
      </c>
      <c r="B4" s="6" t="str">
        <f t="shared" si="1"/>
        <v>Analytics</v>
      </c>
      <c r="C4" s="6" t="str">
        <f t="shared" si="2"/>
        <v>Azure Analysis Services</v>
      </c>
      <c r="D4" s="5" t="s">
        <v>11</v>
      </c>
      <c r="E4" s="7" t="s">
        <v>19</v>
      </c>
      <c r="F4" s="8" t="s">
        <v>13</v>
      </c>
      <c r="G4" s="5" t="s">
        <v>14</v>
      </c>
      <c r="H4" s="5" t="s">
        <v>20</v>
      </c>
      <c r="I4" s="5" t="s">
        <v>16</v>
      </c>
    </row>
    <row r="5">
      <c r="A5" s="5" t="s">
        <v>10</v>
      </c>
      <c r="B5" s="6" t="str">
        <f t="shared" si="1"/>
        <v>Analytics</v>
      </c>
      <c r="C5" s="6" t="str">
        <f t="shared" si="2"/>
        <v>Azure Analysis Services</v>
      </c>
      <c r="D5" s="5" t="s">
        <v>11</v>
      </c>
      <c r="E5" s="7" t="s">
        <v>17</v>
      </c>
      <c r="F5" s="8" t="s">
        <v>21</v>
      </c>
      <c r="G5" s="5" t="s">
        <v>22</v>
      </c>
      <c r="H5" s="5" t="s">
        <v>23</v>
      </c>
      <c r="I5" s="5" t="s">
        <v>16</v>
      </c>
    </row>
    <row r="6">
      <c r="A6" s="5" t="s">
        <v>10</v>
      </c>
      <c r="B6" s="6" t="str">
        <f t="shared" si="1"/>
        <v>Analytics</v>
      </c>
      <c r="C6" s="6" t="str">
        <f t="shared" si="2"/>
        <v>Azure Analysis Services</v>
      </c>
      <c r="D6" s="5" t="s">
        <v>11</v>
      </c>
      <c r="E6" s="7" t="s">
        <v>24</v>
      </c>
      <c r="F6" s="8" t="s">
        <v>21</v>
      </c>
      <c r="G6" s="5" t="s">
        <v>25</v>
      </c>
      <c r="H6" s="5" t="s">
        <v>25</v>
      </c>
      <c r="I6" s="5" t="s">
        <v>16</v>
      </c>
    </row>
    <row r="7">
      <c r="A7" s="5" t="s">
        <v>10</v>
      </c>
      <c r="B7" s="6" t="str">
        <f t="shared" si="1"/>
        <v>Analytics</v>
      </c>
      <c r="C7" s="6" t="str">
        <f t="shared" si="2"/>
        <v>Azure Analysis Services</v>
      </c>
      <c r="D7" s="5" t="s">
        <v>11</v>
      </c>
      <c r="E7" s="7" t="s">
        <v>12</v>
      </c>
      <c r="F7" s="8" t="s">
        <v>21</v>
      </c>
      <c r="G7" s="5" t="s">
        <v>26</v>
      </c>
      <c r="H7" s="5" t="s">
        <v>27</v>
      </c>
      <c r="I7" s="5" t="s">
        <v>16</v>
      </c>
    </row>
    <row r="8">
      <c r="A8" s="5" t="s">
        <v>10</v>
      </c>
      <c r="B8" s="5" t="s">
        <v>28</v>
      </c>
      <c r="C8" s="6" t="str">
        <f t="shared" si="2"/>
        <v>Azure Data Factory v2</v>
      </c>
      <c r="D8" s="5" t="s">
        <v>29</v>
      </c>
      <c r="E8" s="7" t="s">
        <v>30</v>
      </c>
      <c r="F8" s="8" t="s">
        <v>31</v>
      </c>
      <c r="G8" s="5" t="s">
        <v>32</v>
      </c>
      <c r="H8" s="5" t="s">
        <v>33</v>
      </c>
      <c r="I8" s="5" t="s">
        <v>34</v>
      </c>
    </row>
    <row r="9">
      <c r="A9" s="5" t="s">
        <v>10</v>
      </c>
      <c r="B9" s="5" t="s">
        <v>28</v>
      </c>
      <c r="C9" s="6" t="str">
        <f t="shared" si="2"/>
        <v>Azure Data Factory v2</v>
      </c>
      <c r="D9" s="5" t="s">
        <v>35</v>
      </c>
      <c r="E9" s="7" t="s">
        <v>30</v>
      </c>
      <c r="F9" s="8" t="s">
        <v>31</v>
      </c>
      <c r="G9" s="5" t="s">
        <v>32</v>
      </c>
      <c r="H9" s="5" t="s">
        <v>36</v>
      </c>
      <c r="I9" s="5" t="s">
        <v>34</v>
      </c>
    </row>
    <row r="10">
      <c r="A10" s="5" t="s">
        <v>10</v>
      </c>
      <c r="B10" s="5" t="s">
        <v>28</v>
      </c>
      <c r="C10" s="6" t="str">
        <f t="shared" si="2"/>
        <v>Azure Data Factory v2</v>
      </c>
      <c r="D10" s="5" t="s">
        <v>37</v>
      </c>
      <c r="E10" s="7" t="s">
        <v>38</v>
      </c>
      <c r="F10" s="8" t="s">
        <v>31</v>
      </c>
      <c r="G10" s="5" t="s">
        <v>32</v>
      </c>
      <c r="H10" s="5" t="s">
        <v>39</v>
      </c>
      <c r="I10" s="5" t="s">
        <v>34</v>
      </c>
    </row>
    <row r="11">
      <c r="A11" s="5" t="s">
        <v>10</v>
      </c>
      <c r="B11" s="5" t="s">
        <v>28</v>
      </c>
      <c r="C11" s="6" t="str">
        <f t="shared" si="2"/>
        <v>Azure Data Factory v2</v>
      </c>
      <c r="D11" s="5" t="s">
        <v>29</v>
      </c>
      <c r="E11" s="7" t="s">
        <v>40</v>
      </c>
      <c r="F11" s="8" t="s">
        <v>31</v>
      </c>
      <c r="G11" s="5" t="s">
        <v>32</v>
      </c>
      <c r="H11" s="5" t="s">
        <v>41</v>
      </c>
      <c r="I11" s="5" t="s">
        <v>34</v>
      </c>
    </row>
    <row r="12">
      <c r="A12" s="5" t="s">
        <v>10</v>
      </c>
      <c r="B12" s="5" t="s">
        <v>28</v>
      </c>
      <c r="C12" s="6" t="str">
        <f t="shared" si="2"/>
        <v>Azure Data Factory v2</v>
      </c>
      <c r="D12" s="5" t="s">
        <v>35</v>
      </c>
      <c r="E12" s="7" t="s">
        <v>40</v>
      </c>
      <c r="F12" s="8" t="s">
        <v>31</v>
      </c>
      <c r="G12" s="5" t="s">
        <v>32</v>
      </c>
      <c r="H12" s="5" t="s">
        <v>42</v>
      </c>
      <c r="I12" s="5" t="s">
        <v>34</v>
      </c>
    </row>
    <row r="13">
      <c r="A13" s="5" t="s">
        <v>10</v>
      </c>
      <c r="B13" s="5" t="s">
        <v>28</v>
      </c>
      <c r="C13" s="6" t="str">
        <f t="shared" si="2"/>
        <v>Azure Data Factory v2</v>
      </c>
      <c r="D13" s="5" t="s">
        <v>43</v>
      </c>
      <c r="E13" s="7" t="s">
        <v>44</v>
      </c>
      <c r="F13" s="8" t="s">
        <v>31</v>
      </c>
      <c r="G13" s="5" t="s">
        <v>32</v>
      </c>
      <c r="H13" s="5" t="s">
        <v>44</v>
      </c>
      <c r="I13" s="5" t="s">
        <v>34</v>
      </c>
    </row>
    <row r="14">
      <c r="A14" s="5" t="s">
        <v>10</v>
      </c>
      <c r="B14" s="5" t="s">
        <v>45</v>
      </c>
      <c r="C14" s="5" t="s">
        <v>46</v>
      </c>
      <c r="D14" s="5" t="s">
        <v>47</v>
      </c>
      <c r="E14" s="7" t="s">
        <v>48</v>
      </c>
      <c r="F14" s="8" t="s">
        <v>46</v>
      </c>
      <c r="G14" s="6"/>
      <c r="H14" s="6"/>
      <c r="I14" s="5" t="s">
        <v>49</v>
      </c>
    </row>
    <row r="15">
      <c r="A15" s="5" t="s">
        <v>10</v>
      </c>
      <c r="B15" s="5" t="s">
        <v>45</v>
      </c>
      <c r="C15" s="9" t="s">
        <v>50</v>
      </c>
      <c r="D15" s="5" t="s">
        <v>47</v>
      </c>
      <c r="E15" s="7" t="s">
        <v>48</v>
      </c>
      <c r="F15" s="8" t="s">
        <v>50</v>
      </c>
      <c r="G15" s="6"/>
      <c r="H15" s="6"/>
      <c r="I15" s="5" t="s">
        <v>51</v>
      </c>
    </row>
    <row r="16">
      <c r="A16" s="5" t="s">
        <v>10</v>
      </c>
      <c r="B16" s="5" t="s">
        <v>28</v>
      </c>
      <c r="C16" s="6" t="str">
        <f t="shared" ref="C16:C17" si="3">IFS(OR(I16="Microsoft.AnalysisServices",F16="Analysis Services"),"Azure Analysis Services",
OR(I16="Microsoft.DataFactory",F16="Azure Data Factory"),"Azure Data Factory v2",
OR(I16="Microsoft.Cache",G16="Azure Redis Cache"),"Azure Redis Cache",
OR(I16="Microsoft.Cdn",G16="Azure CDN"),"Azure CDN",
OR(I16="Compute",H16="Compute Hours"),"Virtual Machines",
OR(I16="Microsoft.Batch"),"Azure Batch",
OR(I16="Microsoft.DataBox"),"Data Box",
OR(I16="Microsoft.KeyVault"),"Key Vault",
OR(F16="Scheduler",I16="Microsoft.Scheduler"),"Scheduler",
OR(I16="microsoft.operationalinsights"),"Microsoft Sentinel",
OR(F16="Azure Database for PostgreSQL"),"PostgreSQL Database",
TRUE,FIND(F16,"Azure"))</f>
        <v>Azure Data Factory v2</v>
      </c>
      <c r="D16" s="5" t="s">
        <v>29</v>
      </c>
      <c r="E16" s="7" t="s">
        <v>40</v>
      </c>
      <c r="F16" s="8" t="s">
        <v>52</v>
      </c>
      <c r="G16" s="5" t="s">
        <v>53</v>
      </c>
      <c r="H16" s="5" t="s">
        <v>54</v>
      </c>
      <c r="I16" s="5" t="s">
        <v>34</v>
      </c>
    </row>
    <row r="17">
      <c r="A17" s="5" t="s">
        <v>10</v>
      </c>
      <c r="B17" s="5" t="s">
        <v>28</v>
      </c>
      <c r="C17" s="6" t="str">
        <f t="shared" si="3"/>
        <v>Azure Data Factory v2</v>
      </c>
      <c r="D17" s="5" t="s">
        <v>29</v>
      </c>
      <c r="E17" s="7" t="s">
        <v>30</v>
      </c>
      <c r="F17" s="8" t="s">
        <v>52</v>
      </c>
      <c r="G17" s="5" t="s">
        <v>53</v>
      </c>
      <c r="H17" s="5" t="s">
        <v>55</v>
      </c>
      <c r="I17" s="5" t="s">
        <v>34</v>
      </c>
    </row>
    <row r="18">
      <c r="A18" s="6" t="str">
        <f t="shared" ref="A18:A29" si="4">IFS(OR(I18="Microsoft.AnalysisServices",F18="Analysis Services"),"Cloud Services",
OR(I18="Microsoft.DataFactory",F18="Azure Data Factory",F18="Business Analytics"),"Business Analytics",
OR(I18="Microsoft.Cache",F18="Cache",F18="Redis Cache",G18="Azure Redis Cache"),"Storage",
OR(I18="Microsoft.Cdn",F18="CDN",F18="Content Delivery Network",G18="Azure CDN"),"Storage",
OR(I18="Compute",F18="Cloud Services",H18="Compute Hours"),"Cloud Services",
OR(I18="Microsoft.Batch",F18="Cloud Services",H18="%License"),"Cloud Services",
OR(I18="Microsoft.DataBox",F18="Data Box"),"Cloud Services",
OR(I18="Microsoft.KeyVault",F18="Key Vault"),"Cloud Services",
OR(F18="Scheduler",G18="Scheduler",I18="Microsoft.Scheduler"),"Cloud Services",
OR(I18="microsoft.operationalinsights",F18="Sentinel"),"Cloud Services",
OR(I18="Microsoft.DBforPostgreSQL",I18="Microsoft.DBforMyQL",F18="Azure Database for PostgreSQL"),"Cloud Services",
TRUE,"Проверь правило")</f>
        <v>Storage</v>
      </c>
      <c r="B18" s="5" t="s">
        <v>56</v>
      </c>
      <c r="C18" s="5" t="s">
        <v>57</v>
      </c>
      <c r="D18" s="5" t="s">
        <v>58</v>
      </c>
      <c r="E18" s="7" t="s">
        <v>59</v>
      </c>
      <c r="F18" s="8" t="s">
        <v>60</v>
      </c>
      <c r="G18" s="5" t="s">
        <v>61</v>
      </c>
      <c r="H18" s="6"/>
      <c r="I18" s="5" t="s">
        <v>62</v>
      </c>
    </row>
    <row r="19">
      <c r="A19" s="6" t="str">
        <f t="shared" si="4"/>
        <v>Storage</v>
      </c>
      <c r="B19" s="5" t="s">
        <v>56</v>
      </c>
      <c r="C19" s="5" t="s">
        <v>57</v>
      </c>
      <c r="D19" s="5" t="s">
        <v>58</v>
      </c>
      <c r="E19" s="7" t="s">
        <v>63</v>
      </c>
      <c r="F19" s="8" t="s">
        <v>64</v>
      </c>
      <c r="G19" s="6"/>
      <c r="H19" s="5" t="s">
        <v>65</v>
      </c>
      <c r="I19" s="5" t="s">
        <v>62</v>
      </c>
    </row>
    <row r="20">
      <c r="A20" s="6" t="str">
        <f t="shared" si="4"/>
        <v>Storage</v>
      </c>
      <c r="B20" s="5" t="s">
        <v>56</v>
      </c>
      <c r="C20" s="5" t="s">
        <v>57</v>
      </c>
      <c r="D20" s="5" t="s">
        <v>58</v>
      </c>
      <c r="E20" s="7" t="s">
        <v>66</v>
      </c>
      <c r="F20" s="8" t="s">
        <v>64</v>
      </c>
      <c r="G20" s="6"/>
      <c r="H20" s="5" t="s">
        <v>67</v>
      </c>
      <c r="I20" s="5" t="s">
        <v>62</v>
      </c>
    </row>
    <row r="21">
      <c r="A21" s="6" t="str">
        <f t="shared" si="4"/>
        <v>Storage</v>
      </c>
      <c r="B21" s="5" t="s">
        <v>68</v>
      </c>
      <c r="C21" s="6" t="str">
        <f t="shared" ref="C21:C23" si="5">IFS(OR(I21="Microsoft.AnalysisServices",F21="Analysis Services"),"Azure Analysis Services",
OR(I21="Microsoft.DataFactory",F21="Azure Data Factory"),"Azure Data Factory v2",
OR(I21="Microsoft.Cache",G21="Azure Redis Cache"),"Azure Redis Cache",
OR(I21="Microsoft.Cdn",G21="Azure CDN"),"Azure CDN",
OR(I21="Compute",H21="Compute Hours"),"Virtual Machines",
OR(I21="Microsoft.Batch"),"Azure Batch",
OR(I21="Microsoft.DataBox"),"Data Box",
OR(I21="Microsoft.KeyVault"),"Key Vault",
OR(F21="Scheduler",I21="Microsoft.Scheduler"),"Scheduler",
OR(I21="microsoft.operationalinsights"),"Microsoft Sentinel",
OR(F21="Azure Database for PostgreSQL"),"PostgreSQL Database",
TRUE,FIND(F21,"Azure"))</f>
        <v>Azure CDN</v>
      </c>
      <c r="D21" s="5" t="s">
        <v>69</v>
      </c>
      <c r="E21" s="7" t="s">
        <v>70</v>
      </c>
      <c r="F21" s="8" t="s">
        <v>71</v>
      </c>
      <c r="G21" s="5" t="s">
        <v>71</v>
      </c>
      <c r="H21" s="5" t="s">
        <v>72</v>
      </c>
      <c r="I21" s="5" t="s">
        <v>73</v>
      </c>
    </row>
    <row r="22">
      <c r="A22" s="6" t="str">
        <f t="shared" si="4"/>
        <v>Storage</v>
      </c>
      <c r="B22" s="5" t="s">
        <v>68</v>
      </c>
      <c r="C22" s="6" t="str">
        <f t="shared" si="5"/>
        <v>Azure CDN</v>
      </c>
      <c r="D22" s="5" t="s">
        <v>69</v>
      </c>
      <c r="E22" s="7" t="s">
        <v>74</v>
      </c>
      <c r="F22" s="8" t="s">
        <v>75</v>
      </c>
      <c r="G22" s="5" t="s">
        <v>76</v>
      </c>
      <c r="H22" s="5" t="s">
        <v>77</v>
      </c>
      <c r="I22" s="5" t="s">
        <v>73</v>
      </c>
    </row>
    <row r="23">
      <c r="A23" s="6" t="str">
        <f t="shared" si="4"/>
        <v>Cloud Services</v>
      </c>
      <c r="B23" s="5" t="s">
        <v>78</v>
      </c>
      <c r="C23" s="6" t="str">
        <f t="shared" si="5"/>
        <v>Azure Batch</v>
      </c>
      <c r="D23" s="5" t="s">
        <v>79</v>
      </c>
      <c r="E23" s="7" t="s">
        <v>80</v>
      </c>
      <c r="F23" s="8" t="s">
        <v>10</v>
      </c>
      <c r="G23" s="5" t="s">
        <v>81</v>
      </c>
      <c r="H23" s="5" t="s">
        <v>82</v>
      </c>
      <c r="I23" s="5" t="s">
        <v>83</v>
      </c>
    </row>
    <row r="24">
      <c r="A24" s="6" t="str">
        <f t="shared" si="4"/>
        <v>Cloud Services</v>
      </c>
      <c r="B24" s="5" t="s">
        <v>78</v>
      </c>
      <c r="C24" s="5" t="s">
        <v>84</v>
      </c>
      <c r="D24" s="5" t="s">
        <v>85</v>
      </c>
      <c r="E24" s="7" t="s">
        <v>86</v>
      </c>
      <c r="F24" s="8" t="s">
        <v>10</v>
      </c>
      <c r="G24" s="5" t="s">
        <v>87</v>
      </c>
      <c r="H24" s="5" t="s">
        <v>88</v>
      </c>
      <c r="I24" s="5" t="s">
        <v>89</v>
      </c>
    </row>
    <row r="25">
      <c r="A25" s="6" t="str">
        <f t="shared" si="4"/>
        <v>Cloud Services</v>
      </c>
      <c r="B25" s="5" t="s">
        <v>78</v>
      </c>
      <c r="C25" s="5" t="s">
        <v>84</v>
      </c>
      <c r="D25" s="5" t="s">
        <v>90</v>
      </c>
      <c r="E25" s="7" t="s">
        <v>91</v>
      </c>
      <c r="F25" s="8" t="s">
        <v>10</v>
      </c>
      <c r="G25" s="5" t="s">
        <v>92</v>
      </c>
      <c r="H25" s="5" t="s">
        <v>88</v>
      </c>
      <c r="I25" s="5" t="s">
        <v>89</v>
      </c>
    </row>
    <row r="26">
      <c r="A26" s="6" t="str">
        <f t="shared" si="4"/>
        <v>Cloud Services</v>
      </c>
      <c r="B26" s="5" t="s">
        <v>78</v>
      </c>
      <c r="C26" s="5" t="s">
        <v>84</v>
      </c>
      <c r="D26" s="5" t="s">
        <v>93</v>
      </c>
      <c r="E26" s="7" t="s">
        <v>94</v>
      </c>
      <c r="F26" s="8" t="s">
        <v>10</v>
      </c>
      <c r="G26" s="5" t="s">
        <v>95</v>
      </c>
      <c r="H26" s="5" t="s">
        <v>88</v>
      </c>
      <c r="I26" s="5" t="s">
        <v>89</v>
      </c>
    </row>
    <row r="27">
      <c r="A27" s="6" t="str">
        <f t="shared" si="4"/>
        <v>Cloud Services</v>
      </c>
      <c r="B27" s="5" t="s">
        <v>78</v>
      </c>
      <c r="C27" s="5" t="s">
        <v>84</v>
      </c>
      <c r="D27" s="5" t="s">
        <v>96</v>
      </c>
      <c r="E27" s="7" t="s">
        <v>97</v>
      </c>
      <c r="F27" s="8" t="s">
        <v>10</v>
      </c>
      <c r="G27" s="5" t="s">
        <v>98</v>
      </c>
      <c r="H27" s="5" t="s">
        <v>88</v>
      </c>
      <c r="I27" s="5" t="s">
        <v>89</v>
      </c>
    </row>
    <row r="28">
      <c r="A28" s="6" t="str">
        <f t="shared" si="4"/>
        <v>Cloud Services</v>
      </c>
      <c r="B28" s="5" t="s">
        <v>78</v>
      </c>
      <c r="C28" s="5" t="s">
        <v>84</v>
      </c>
      <c r="D28" s="5" t="s">
        <v>99</v>
      </c>
      <c r="E28" s="7" t="s">
        <v>100</v>
      </c>
      <c r="F28" s="8" t="s">
        <v>10</v>
      </c>
      <c r="G28" s="5" t="s">
        <v>101</v>
      </c>
      <c r="H28" s="5" t="s">
        <v>88</v>
      </c>
      <c r="I28" s="5" t="s">
        <v>89</v>
      </c>
    </row>
    <row r="29">
      <c r="A29" s="6" t="str">
        <f t="shared" si="4"/>
        <v>Cloud Services</v>
      </c>
      <c r="B29" s="5" t="s">
        <v>78</v>
      </c>
      <c r="C29" s="5" t="s">
        <v>84</v>
      </c>
      <c r="D29" s="5" t="s">
        <v>102</v>
      </c>
      <c r="E29" s="7" t="s">
        <v>103</v>
      </c>
      <c r="F29" s="8" t="s">
        <v>10</v>
      </c>
      <c r="G29" s="5" t="s">
        <v>104</v>
      </c>
      <c r="H29" s="5" t="s">
        <v>88</v>
      </c>
      <c r="I29" s="5" t="s">
        <v>89</v>
      </c>
    </row>
    <row r="30">
      <c r="A30" s="5" t="s">
        <v>105</v>
      </c>
      <c r="B30" s="5" t="s">
        <v>68</v>
      </c>
      <c r="C30" s="5" t="s">
        <v>106</v>
      </c>
      <c r="D30" s="5" t="s">
        <v>107</v>
      </c>
      <c r="E30" s="7" t="s">
        <v>108</v>
      </c>
      <c r="F30" s="8" t="s">
        <v>109</v>
      </c>
      <c r="G30" s="6"/>
      <c r="H30" s="6"/>
      <c r="I30" s="5" t="s">
        <v>110</v>
      </c>
    </row>
    <row r="31">
      <c r="A31" s="6" t="str">
        <f t="shared" ref="A31:A37" si="6">IFS(OR(I31="Microsoft.AnalysisServices",F31="Analysis Services"),"Cloud Services",
OR(I31="Microsoft.DataFactory",F31="Azure Data Factory",F31="Business Analytics"),"Business Analytics",
OR(I31="Microsoft.Cache",F31="Cache",F31="Redis Cache",G31="Azure Redis Cache"),"Storage",
OR(I31="Microsoft.Cdn",F31="CDN",F31="Content Delivery Network",G31="Azure CDN"),"Storage",
OR(I31="Compute",F31="Cloud Services",H31="Compute Hours"),"Cloud Services",
OR(I31="Microsoft.Batch",F31="Cloud Services",H31="%License"),"Cloud Services",
OR(I31="Microsoft.DataBox",F31="Data Box"),"Cloud Services",
OR(I31="Microsoft.KeyVault",F31="Key Vault"),"Cloud Services",
OR(F31="Scheduler",G31="Scheduler",I31="Microsoft.Scheduler"),"Cloud Services",
OR(I31="microsoft.operationalinsights",F31="Sentinel"),"Cloud Services",
OR(I31="Microsoft.DBforPostgreSQL",I31="Microsoft.DBforMyQL",F31="Azure Database for PostgreSQL"),"Cloud Services",
TRUE,"Проверь правило")</f>
        <v>Cloud Services</v>
      </c>
      <c r="B31" s="5" t="s">
        <v>111</v>
      </c>
      <c r="C31" s="5" t="s">
        <v>112</v>
      </c>
      <c r="D31" s="5" t="s">
        <v>113</v>
      </c>
      <c r="E31" s="7" t="s">
        <v>114</v>
      </c>
      <c r="F31" s="8" t="s">
        <v>115</v>
      </c>
      <c r="G31" s="6"/>
      <c r="H31" s="6"/>
      <c r="I31" s="5" t="s">
        <v>116</v>
      </c>
    </row>
    <row r="32">
      <c r="A32" s="6" t="str">
        <f t="shared" si="6"/>
        <v>Cloud Services</v>
      </c>
      <c r="B32" s="5" t="s">
        <v>28</v>
      </c>
      <c r="C32" s="5" t="s">
        <v>117</v>
      </c>
      <c r="D32" s="5" t="s">
        <v>118</v>
      </c>
      <c r="E32" s="5" t="s">
        <v>119</v>
      </c>
      <c r="F32" s="8" t="s">
        <v>120</v>
      </c>
      <c r="G32" s="5" t="s">
        <v>120</v>
      </c>
      <c r="H32" s="5" t="s">
        <v>119</v>
      </c>
      <c r="I32" s="6"/>
    </row>
    <row r="33">
      <c r="A33" s="6" t="str">
        <f t="shared" si="6"/>
        <v>Cloud Services</v>
      </c>
      <c r="B33" s="5" t="s">
        <v>28</v>
      </c>
      <c r="C33" s="5" t="s">
        <v>117</v>
      </c>
      <c r="D33" s="5" t="s">
        <v>118</v>
      </c>
      <c r="E33" s="5" t="s">
        <v>121</v>
      </c>
      <c r="F33" s="8" t="s">
        <v>120</v>
      </c>
      <c r="G33" s="5" t="s">
        <v>120</v>
      </c>
      <c r="H33" s="5" t="s">
        <v>121</v>
      </c>
      <c r="I33" s="6"/>
    </row>
    <row r="34">
      <c r="A34" s="6" t="str">
        <f t="shared" si="6"/>
        <v>Cloud Services</v>
      </c>
      <c r="B34" s="5" t="s">
        <v>28</v>
      </c>
      <c r="C34" s="5" t="s">
        <v>117</v>
      </c>
      <c r="D34" s="5" t="s">
        <v>118</v>
      </c>
      <c r="E34" s="5" t="s">
        <v>119</v>
      </c>
      <c r="F34" s="8" t="s">
        <v>120</v>
      </c>
      <c r="G34" s="6"/>
      <c r="H34" s="5" t="s">
        <v>122</v>
      </c>
      <c r="I34" s="5" t="s">
        <v>123</v>
      </c>
    </row>
    <row r="35">
      <c r="A35" s="6" t="str">
        <f t="shared" si="6"/>
        <v>Cloud Services</v>
      </c>
      <c r="B35" s="5" t="s">
        <v>28</v>
      </c>
      <c r="C35" s="5" t="s">
        <v>117</v>
      </c>
      <c r="D35" s="5" t="s">
        <v>118</v>
      </c>
      <c r="E35" s="5" t="s">
        <v>121</v>
      </c>
      <c r="F35" s="8" t="s">
        <v>120</v>
      </c>
      <c r="G35" s="6"/>
      <c r="H35" s="5" t="s">
        <v>124</v>
      </c>
      <c r="I35" s="5" t="s">
        <v>123</v>
      </c>
    </row>
    <row r="36">
      <c r="A36" s="6" t="str">
        <f t="shared" si="6"/>
        <v>Cloud Services</v>
      </c>
      <c r="B36" s="5" t="s">
        <v>111</v>
      </c>
      <c r="C36" s="5" t="s">
        <v>125</v>
      </c>
      <c r="D36" s="5" t="s">
        <v>126</v>
      </c>
      <c r="E36" s="5" t="s">
        <v>127</v>
      </c>
      <c r="F36" s="8" t="s">
        <v>128</v>
      </c>
      <c r="G36" s="6"/>
      <c r="H36" s="5" t="s">
        <v>127</v>
      </c>
      <c r="I36" s="5" t="s">
        <v>129</v>
      </c>
    </row>
    <row r="37">
      <c r="A37" s="6" t="str">
        <f t="shared" si="6"/>
        <v>Cloud Services</v>
      </c>
      <c r="B37" s="5" t="s">
        <v>111</v>
      </c>
      <c r="C37" s="5" t="s">
        <v>125</v>
      </c>
      <c r="D37" s="5" t="s">
        <v>126</v>
      </c>
      <c r="E37" s="7" t="s">
        <v>130</v>
      </c>
      <c r="F37" s="8" t="s">
        <v>128</v>
      </c>
      <c r="G37" s="6"/>
      <c r="H37" s="5" t="s">
        <v>131</v>
      </c>
      <c r="I37" s="5" t="s">
        <v>129</v>
      </c>
    </row>
  </sheetData>
  <drawing r:id="rId1"/>
</worksheet>
</file>